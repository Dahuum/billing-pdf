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smaroc-my.sharepoint.com/personal/sami_fathallah_swam_ma/Documents/Documents/Factures Fraude INWI/"/>
    </mc:Choice>
  </mc:AlternateContent>
  <xr:revisionPtr revIDLastSave="0" documentId="8_{003732F3-2A5F-4FB5-AEC5-D28FFE98AAC2}" xr6:coauthVersionLast="47" xr6:coauthVersionMax="47" xr10:uidLastSave="{00000000-0000-0000-0000-000000000000}"/>
  <bookViews>
    <workbookView xWindow="-108" yWindow="-108" windowWidth="23256" windowHeight="13896" xr2:uid="{FD5A93F3-1166-44B1-8DF4-19B270AE81FD}"/>
  </bookViews>
  <sheets>
    <sheet name="F_RUN_WANA_Mars" sheetId="2" r:id="rId1"/>
    <sheet name="WANA_Mars" sheetId="1" r:id="rId2"/>
  </sheets>
  <definedNames>
    <definedName name="_xlnm.Print_Area" localSheetId="0">F_RUN_WANA_Mars!$A$1:$I$56</definedName>
    <definedName name="_xlnm.Print_Area" localSheetId="1">WANA_Mars!$J$1:$O$52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R28" i="1"/>
  <c r="F26" i="1"/>
  <c r="O25" i="1"/>
  <c r="R24" i="1" s="1"/>
  <c r="O22" i="1"/>
  <c r="F22" i="1"/>
  <c r="F28" i="1" s="1"/>
  <c r="O21" i="1"/>
  <c r="R20" i="1"/>
  <c r="D19" i="1"/>
  <c r="F19" i="1" s="1"/>
  <c r="C17" i="1"/>
  <c r="B14" i="1"/>
  <c r="R21" i="1" l="1"/>
  <c r="O28" i="1"/>
  <c r="R31" i="1"/>
  <c r="I34" i="2"/>
  <c r="I35" i="2" s="1"/>
  <c r="R27" i="1"/>
  <c r="R32" i="1" l="1"/>
</calcChain>
</file>

<file path=xl/sharedStrings.xml><?xml version="1.0" encoding="utf-8"?>
<sst xmlns="http://schemas.openxmlformats.org/spreadsheetml/2006/main" count="67" uniqueCount="54">
  <si>
    <t>Code Element</t>
  </si>
  <si>
    <t>Description Element</t>
  </si>
  <si>
    <t>DA_EMETTEUR</t>
  </si>
  <si>
    <t>Prestation de monitoring de la Fraude transactionnelle</t>
  </si>
  <si>
    <t>DA_ACQUEREUR</t>
  </si>
  <si>
    <t>DT_EMETTEUR</t>
  </si>
  <si>
    <t>DT_ACQUEREUR</t>
  </si>
  <si>
    <t>Traitement compensation</t>
  </si>
  <si>
    <t>Opposition</t>
  </si>
  <si>
    <t>Annexe à la facture N° W/2025/12/113</t>
  </si>
  <si>
    <t xml:space="preserve">Référence  Client :   </t>
  </si>
  <si>
    <t xml:space="preserve">Nom Client : Wana Corporate </t>
  </si>
  <si>
    <t>ICE N° :  001957412000035</t>
  </si>
  <si>
    <r>
      <t xml:space="preserve">Annexe à la facture N° </t>
    </r>
    <r>
      <rPr>
        <b/>
        <sz val="11"/>
        <color rgb="FFFF0000"/>
        <rFont val="Aptos Narrow"/>
        <family val="2"/>
      </rPr>
      <t>XXXXXXX</t>
    </r>
  </si>
  <si>
    <t>Nom Client :</t>
  </si>
  <si>
    <t>Prestation</t>
  </si>
  <si>
    <t>Unité de facturation</t>
  </si>
  <si>
    <t>Qté</t>
  </si>
  <si>
    <t xml:space="preserve">Prix    Unitaire </t>
  </si>
  <si>
    <t>Montant           Total HT</t>
  </si>
  <si>
    <t>Demande Autorisation (DA TPE)</t>
  </si>
  <si>
    <t>Dh.</t>
  </si>
  <si>
    <t>Routage - Acquereur</t>
  </si>
  <si>
    <t>Monitoring de la Fraude Transactionnelle OFFUS</t>
  </si>
  <si>
    <t>Issuing</t>
  </si>
  <si>
    <t>Op.</t>
  </si>
  <si>
    <t>Règlement national BAM</t>
  </si>
  <si>
    <t>F.</t>
  </si>
  <si>
    <t>acquiring</t>
  </si>
  <si>
    <t>Monitoring de la Fraude Transactionnelle ONUS</t>
  </si>
  <si>
    <t>Onus</t>
  </si>
  <si>
    <t>Reliquat</t>
  </si>
  <si>
    <t>Total H.T</t>
  </si>
  <si>
    <t>Total HT</t>
  </si>
  <si>
    <t>Casablanca Nearshore Park Shore 1,1100 Boulevard Al Qods Sidi Maaouf -20270 Casablanca - Maroc</t>
  </si>
  <si>
    <t>SA au capital de 65.000.000 dh RC : 343371 -TP : 36191679 -IF :18735615 - CNSS :4771342 - ICE 000113045000084</t>
  </si>
  <si>
    <t>Tél : +212529 045 100 - Communication@swam.ma - http://Swam.ma</t>
  </si>
  <si>
    <t>Facture</t>
  </si>
  <si>
    <t>Nom Client : Wana Corporate</t>
  </si>
  <si>
    <t>Adresse     : Lottissement LA COLLINE 2 Sidi Maarouf Casablanca.</t>
  </si>
  <si>
    <t xml:space="preserve">Description </t>
  </si>
  <si>
    <t>wl</t>
  </si>
  <si>
    <t xml:space="preserve">Réf: Bon de commande N°4500044831 signé le 31/07/2023 </t>
  </si>
  <si>
    <t>TVA 20%</t>
  </si>
  <si>
    <t>Total T.T.C</t>
  </si>
  <si>
    <t>Arrêtée la présente facture à la somme de:</t>
  </si>
  <si>
    <t xml:space="preserve">Cinquante et un mille cent quinze, 21 Cts . (Toutes taxes comprises) </t>
  </si>
  <si>
    <t>Coordonnées bancaires :</t>
  </si>
  <si>
    <t>Banque : ATTIJARIWAFABANK.</t>
  </si>
  <si>
    <t xml:space="preserve">Agence :C.A. MANDARONA LOT. ATTAWFIQ SIDI MAAROUF
</t>
  </si>
  <si>
    <t>Compte N° 007 780 0003409000001312 34</t>
  </si>
  <si>
    <t>Run relatif au monitoring de la fraude transactionnelle du 01/02/2025 au 28/02/2025</t>
  </si>
  <si>
    <t xml:space="preserve">N° </t>
  </si>
  <si>
    <t xml:space="preserve">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</si>
</sst>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&quot;* #,##0.00&quot;   &quot;;&quot;-&quot;* #,##0.00&quot;   &quot;;&quot; &quot;* &quot;-&quot;#&quot;   &quot;;&quot; &quot;@&quot; &quot;"/>
    <numFmt numFmtId="165" formatCode="&quot; &quot;* #,##0.0000&quot;   &quot;;&quot;-&quot;* #,##0.0000&quot;   &quot;;&quot; &quot;* &quot;-&quot;#&quot;   &quot;;&quot; &quot;@&quot; &quot;"/>
    <numFmt numFmtId="166" formatCode="&quot; &quot;* #,##0&quot;   &quot;;&quot;-&quot;* #,##0&quot;   &quot;;&quot; &quot;* &quot;-&quot;#&quot;   &quot;;&quot; &quot;@&quot; &quot;"/>
    <numFmt numFmtId="167" formatCode="#,##0.0000"/>
  </numFmts>
  <fonts count="1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Helvetica"/>
    </font>
    <font>
      <b/>
      <sz val="11"/>
      <color rgb="FF000000"/>
      <name val="Aptos Narrow"/>
      <family val="2"/>
    </font>
    <font>
      <b/>
      <sz val="9"/>
      <color rgb="FF000000"/>
      <name val="Aptos Narrow"/>
      <family val="2"/>
    </font>
    <font>
      <b/>
      <sz val="10"/>
      <color rgb="FF000000"/>
      <name val="Helvetica"/>
    </font>
    <font>
      <b/>
      <sz val="11"/>
      <color rgb="FFFF0000"/>
      <name val="Aptos Narrow"/>
      <family val="2"/>
    </font>
    <font>
      <sz val="9"/>
      <color rgb="FFFFFFFF"/>
      <name val="Helvetica"/>
    </font>
    <font>
      <sz val="10"/>
      <color rgb="FFFFFFFF"/>
      <name val="Helvetica"/>
    </font>
    <font>
      <b/>
      <u/>
      <sz val="10"/>
      <color rgb="FF000000"/>
      <name val="Helvetica"/>
    </font>
    <font>
      <b/>
      <u/>
      <sz val="11"/>
      <color rgb="FF000000"/>
      <name val="Aptos Narrow"/>
      <family val="2"/>
    </font>
    <font>
      <b/>
      <i/>
      <u/>
      <sz val="10"/>
      <color rgb="FF000000"/>
      <name val="Helvetica"/>
    </font>
    <font>
      <sz val="10"/>
      <color rgb="FF000000"/>
      <name val="Aptos Narrow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Helvetica"/>
    </font>
    <font>
      <sz val="9"/>
      <color rgb="FF000000"/>
      <name val="Helvetica"/>
    </font>
    <font>
      <i/>
      <sz val="10"/>
      <color rgb="FFFFFFFF"/>
      <name val="Helvetica"/>
    </font>
    <font>
      <b/>
      <sz val="10"/>
      <color rgb="FF0D0D0D"/>
      <name val="Helvetic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61320"/>
        <bgColor rgb="FF06132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0" fontId="1" fillId="0" borderId="0" applyNumberFormat="0" applyFont="0" applyBorder="0" applyProtection="0"/>
    <xf numFmtId="164" fontId="1" fillId="0" borderId="0" applyFont="0" applyFill="0" applyBorder="0" applyAlignment="0" applyProtection="0"/>
    <xf numFmtId="0" fontId="1" fillId="0" borderId="0" applyNumberFormat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</cellStyleXfs>
  <cellXfs count="72">
    <xf numFmtId="0" fontId="0" fillId="0" borderId="0" xfId="0"/>
    <xf numFmtId="0" fontId="0" fillId="2" borderId="0" xfId="1" applyFont="1" applyFill="1"/>
    <xf numFmtId="0" fontId="0" fillId="2" borderId="0" xfId="1" applyFont="1" applyFill="1" applyAlignment="1">
      <alignment horizontal="center"/>
    </xf>
    <xf numFmtId="165" fontId="0" fillId="2" borderId="0" xfId="2" applyNumberFormat="1" applyFont="1" applyFill="1"/>
    <xf numFmtId="0" fontId="2" fillId="0" borderId="0" xfId="1" applyFont="1"/>
    <xf numFmtId="0" fontId="2" fillId="0" borderId="0" xfId="1" applyFont="1" applyAlignment="1">
      <alignment horizontal="right"/>
    </xf>
    <xf numFmtId="0" fontId="3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165" fontId="3" fillId="2" borderId="0" xfId="2" applyNumberFormat="1" applyFont="1" applyFill="1"/>
    <xf numFmtId="0" fontId="5" fillId="0" borderId="0" xfId="1" applyFont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/>
    </xf>
    <xf numFmtId="0" fontId="3" fillId="2" borderId="1" xfId="1" applyFont="1" applyFill="1" applyBorder="1" applyAlignment="1">
      <alignment horizontal="center"/>
    </xf>
    <xf numFmtId="0" fontId="0" fillId="2" borderId="1" xfId="1" applyFont="1" applyFill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2" borderId="0" xfId="1" applyFont="1" applyFill="1" applyAlignment="1">
      <alignment horizontal="right"/>
    </xf>
    <xf numFmtId="0" fontId="3" fillId="2" borderId="0" xfId="1" applyFont="1" applyFill="1" applyAlignment="1">
      <alignment horizontal="center"/>
    </xf>
    <xf numFmtId="0" fontId="0" fillId="2" borderId="0" xfId="1" applyFont="1" applyFill="1" applyAlignment="1">
      <alignment horizontal="right"/>
    </xf>
    <xf numFmtId="0" fontId="7" fillId="4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2" fillId="2" borderId="0" xfId="1" applyFont="1" applyFill="1"/>
    <xf numFmtId="0" fontId="5" fillId="2" borderId="0" xfId="1" applyFont="1" applyFill="1" applyAlignment="1">
      <alignment horizontal="center" vertical="center" wrapText="1"/>
    </xf>
    <xf numFmtId="0" fontId="0" fillId="2" borderId="1" xfId="1" applyFont="1" applyFill="1" applyBorder="1"/>
    <xf numFmtId="166" fontId="0" fillId="2" borderId="1" xfId="2" applyNumberFormat="1" applyFont="1" applyFill="1" applyBorder="1"/>
    <xf numFmtId="165" fontId="0" fillId="2" borderId="1" xfId="2" applyNumberFormat="1" applyFont="1" applyFill="1" applyBorder="1"/>
    <xf numFmtId="164" fontId="0" fillId="2" borderId="1" xfId="2" applyFont="1" applyFill="1" applyBorder="1"/>
    <xf numFmtId="0" fontId="9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right" wrapText="1"/>
    </xf>
    <xf numFmtId="167" fontId="5" fillId="2" borderId="0" xfId="1" applyNumberFormat="1" applyFont="1" applyFill="1" applyAlignment="1">
      <alignment horizontal="center" vertical="center"/>
    </xf>
    <xf numFmtId="0" fontId="10" fillId="3" borderId="1" xfId="1" applyFont="1" applyFill="1" applyBorder="1"/>
    <xf numFmtId="0" fontId="0" fillId="3" borderId="1" xfId="1" applyFont="1" applyFill="1" applyBorder="1" applyAlignment="1">
      <alignment horizontal="center"/>
    </xf>
    <xf numFmtId="166" fontId="0" fillId="3" borderId="1" xfId="2" applyNumberFormat="1" applyFont="1" applyFill="1" applyBorder="1"/>
    <xf numFmtId="165" fontId="0" fillId="3" borderId="1" xfId="2" applyNumberFormat="1" applyFont="1" applyFill="1" applyBorder="1"/>
    <xf numFmtId="164" fontId="0" fillId="3" borderId="1" xfId="2" applyFont="1" applyFill="1" applyBorder="1"/>
    <xf numFmtId="4" fontId="5" fillId="2" borderId="0" xfId="1" applyNumberFormat="1" applyFont="1" applyFill="1" applyAlignment="1">
      <alignment horizontal="right" vertical="center" wrapText="1"/>
    </xf>
    <xf numFmtId="0" fontId="0" fillId="0" borderId="0" xfId="3" applyFont="1" applyProtection="1"/>
    <xf numFmtId="0" fontId="2" fillId="0" borderId="0" xfId="1" applyFont="1" applyAlignment="1">
      <alignment vertical="center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center" vertical="center" wrapText="1"/>
    </xf>
    <xf numFmtId="166" fontId="0" fillId="2" borderId="0" xfId="2" applyNumberFormat="1" applyFont="1" applyFill="1"/>
    <xf numFmtId="0" fontId="0" fillId="0" borderId="0" xfId="1" applyFont="1"/>
    <xf numFmtId="4" fontId="2" fillId="2" borderId="0" xfId="1" applyNumberFormat="1" applyFont="1" applyFill="1" applyAlignment="1">
      <alignment horizontal="right" vertical="center" wrapText="1"/>
    </xf>
    <xf numFmtId="166" fontId="0" fillId="2" borderId="0" xfId="2" applyNumberFormat="1" applyFont="1" applyFill="1" applyAlignment="1">
      <alignment horizontal="left" vertical="top"/>
    </xf>
    <xf numFmtId="165" fontId="4" fillId="3" borderId="1" xfId="2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4" fontId="5" fillId="0" borderId="0" xfId="1" applyNumberFormat="1" applyFont="1"/>
    <xf numFmtId="4" fontId="0" fillId="2" borderId="0" xfId="1" applyNumberFormat="1" applyFont="1" applyFill="1"/>
    <xf numFmtId="4" fontId="3" fillId="2" borderId="0" xfId="1" applyNumberFormat="1" applyFont="1" applyFill="1"/>
    <xf numFmtId="0" fontId="12" fillId="0" borderId="0" xfId="1" applyFont="1"/>
    <xf numFmtId="0" fontId="14" fillId="0" borderId="0" xfId="4" applyFont="1"/>
    <xf numFmtId="0" fontId="15" fillId="0" borderId="0" xfId="1" applyFont="1"/>
    <xf numFmtId="0" fontId="15" fillId="0" borderId="0" xfId="1" applyFont="1" applyAlignment="1">
      <alignment horizontal="center" vertical="center"/>
    </xf>
    <xf numFmtId="0" fontId="16" fillId="0" borderId="0" xfId="5" applyFont="1"/>
    <xf numFmtId="0" fontId="17" fillId="4" borderId="0" xfId="1" applyFont="1" applyFill="1" applyAlignment="1">
      <alignment horizontal="center" vertical="center" wrapText="1"/>
    </xf>
    <xf numFmtId="0" fontId="8" fillId="0" borderId="0" xfId="1" applyFont="1"/>
    <xf numFmtId="0" fontId="13" fillId="0" borderId="0" xfId="4" applyAlignment="1">
      <alignment horizontal="left"/>
    </xf>
    <xf numFmtId="0" fontId="12" fillId="0" borderId="0" xfId="1" applyFont="1" applyAlignment="1">
      <alignment horizontal="left" wrapText="1"/>
    </xf>
    <xf numFmtId="4" fontId="12" fillId="0" borderId="0" xfId="1" applyNumberFormat="1" applyFont="1"/>
    <xf numFmtId="0" fontId="2" fillId="0" borderId="0" xfId="1" applyFont="1" applyAlignment="1">
      <alignment horizontal="left" wrapText="1"/>
    </xf>
    <xf numFmtId="0" fontId="18" fillId="0" borderId="0" xfId="1" applyFont="1"/>
    <xf numFmtId="0" fontId="2" fillId="5" borderId="0" xfId="1" applyFont="1" applyFill="1"/>
    <xf numFmtId="0" fontId="2" fillId="5" borderId="0" xfId="1" applyFont="1" applyFill="1" applyAlignment="1">
      <alignment horizontal="right"/>
    </xf>
    <xf numFmtId="0" fontId="2" fillId="5" borderId="0" xfId="5" applyFont="1" applyFill="1" applyAlignment="1">
      <alignment horizontal="right"/>
    </xf>
    <xf numFmtId="0" fontId="2" fillId="5" borderId="0" xfId="6" applyFont="1" applyFill="1" applyAlignment="1">
      <alignment horizontal="right"/>
    </xf>
    <xf numFmtId="0" fontId="0" fillId="0" borderId="1" xfId="1" applyFont="1" applyBorder="1"/>
    <xf numFmtId="0" fontId="5" fillId="0" borderId="0" xfId="1" applyFont="1" applyAlignment="1">
      <alignment horizontal="center" vertical="center" wrapText="1"/>
    </xf>
    <xf numFmtId="0" fontId="5" fillId="0" borderId="0" xfId="1" applyFont="1"/>
    <xf numFmtId="0" fontId="11" fillId="2" borderId="0" xfId="1" applyFont="1" applyFill="1" applyAlignment="1">
      <alignment horizontal="left" vertical="center" wrapText="1"/>
    </xf>
    <xf numFmtId="0" fontId="17" fillId="4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left" vertical="center" wrapText="1"/>
    </xf>
    <xf numFmtId="4" fontId="2" fillId="2" borderId="0" xfId="1" applyNumberFormat="1" applyFont="1" applyFill="1" applyAlignment="1">
      <alignment horizontal="right" vertical="center" wrapText="1"/>
    </xf>
    <xf numFmtId="0" fontId="18" fillId="0" borderId="0" xfId="1" applyFont="1" applyAlignment="1">
      <alignment wrapText="1"/>
    </xf>
  </cellXfs>
  <cellStyles count="7">
    <cellStyle name="Milliers 2" xfId="2" xr:uid="{8A00549A-B4BE-478E-96B4-15112314F077}"/>
    <cellStyle name="Normal" xfId="0" builtinId="0"/>
    <cellStyle name="Normal 2" xfId="3" xr:uid="{3AC42759-5861-478A-A83A-37E754BED72A}"/>
    <cellStyle name="Normal 2 2 2" xfId="4" xr:uid="{E8C66850-4667-4D0C-A383-F8D6CC12B7EC}"/>
    <cellStyle name="Normal 4 2 2" xfId="1" xr:uid="{9A565164-6C69-425A-8B4E-D44C5CA661DE}"/>
    <cellStyle name="Normal 4 2 4 3" xfId="5" xr:uid="{FCD3C8A1-0E6A-4359-8DAF-58AC4EC619EF}"/>
    <cellStyle name="Normal 4 2 5 2" xfId="6" xr:uid="{0C56C71D-80F4-4062-B3B1-9DD06034B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53416" cy="509448"/>
    <xdr:pic>
      <xdr:nvPicPr>
        <xdr:cNvPr id="2" name="x_Image 1335494678">
          <a:extLst>
            <a:ext uri="{FF2B5EF4-FFF2-40B4-BE49-F238E27FC236}">
              <a16:creationId xmlns:a16="http://schemas.microsoft.com/office/drawing/2014/main" id="{92AB6C56-AA35-4BFE-9F5F-68C4C0CF7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5740" y="167640"/>
          <a:ext cx="1753416" cy="50944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5</xdr:col>
      <xdr:colOff>495303</xdr:colOff>
      <xdr:row>41</xdr:row>
      <xdr:rowOff>101598</xdr:rowOff>
    </xdr:from>
    <xdr:ext cx="1502249" cy="1480815"/>
    <xdr:pic>
      <xdr:nvPicPr>
        <xdr:cNvPr id="3" name="Image 1">
          <a:extLst>
            <a:ext uri="{FF2B5EF4-FFF2-40B4-BE49-F238E27FC236}">
              <a16:creationId xmlns:a16="http://schemas.microsoft.com/office/drawing/2014/main" id="{C6D071C3-EC14-44D5-8EE9-1D1B5DE18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183383" y="7706358"/>
          <a:ext cx="1502249" cy="148081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381003</xdr:colOff>
      <xdr:row>1</xdr:row>
      <xdr:rowOff>129543</xdr:rowOff>
    </xdr:from>
    <xdr:ext cx="1753416" cy="509448"/>
    <xdr:pic>
      <xdr:nvPicPr>
        <xdr:cNvPr id="2" name="x_Image 1335494678">
          <a:extLst>
            <a:ext uri="{FF2B5EF4-FFF2-40B4-BE49-F238E27FC236}">
              <a16:creationId xmlns:a16="http://schemas.microsoft.com/office/drawing/2014/main" id="{0C91F9CB-8558-4B40-A435-D58C41DE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73483" y="312423"/>
          <a:ext cx="1753416" cy="50944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228600</xdr:colOff>
      <xdr:row>35</xdr:row>
      <xdr:rowOff>0</xdr:rowOff>
    </xdr:from>
    <xdr:ext cx="1502249" cy="1480815"/>
    <xdr:pic>
      <xdr:nvPicPr>
        <xdr:cNvPr id="3" name="Image 1">
          <a:extLst>
            <a:ext uri="{FF2B5EF4-FFF2-40B4-BE49-F238E27FC236}">
              <a16:creationId xmlns:a16="http://schemas.microsoft.com/office/drawing/2014/main" id="{54441832-27CF-4CA1-B022-713C26695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753100" y="6553200"/>
          <a:ext cx="1502249" cy="148081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4CF7-979D-4427-A576-935AC3E02D7C}">
  <sheetPr>
    <tabColor rgb="FF92D050"/>
    <pageSetUpPr fitToPage="1"/>
  </sheetPr>
  <dimension ref="A6:K56"/>
  <sheetViews>
    <sheetView tabSelected="1" view="pageBreakPreview" topLeftCell="A12" zoomScale="60" zoomScaleNormal="100" workbookViewId="0">
      <selection activeCell="B39" sqref="B39:I39"/>
    </sheetView>
  </sheetViews>
  <sheetFormatPr defaultColWidth="11.5546875" defaultRowHeight="13.2" x14ac:dyDescent="0.25"/>
  <cols>
    <col min="1" max="1" width="3" style="4" customWidth="1"/>
    <col min="2" max="2" width="38.109375" style="4" customWidth="1"/>
    <col min="3" max="3" width="0.44140625" style="4" customWidth="1"/>
    <col min="4" max="4" width="10.33203125" style="14" customWidth="1"/>
    <col min="5" max="5" width="1.88671875" style="14" customWidth="1"/>
    <col min="6" max="6" width="14.6640625" style="4" customWidth="1"/>
    <col min="7" max="7" width="2" style="4" customWidth="1"/>
    <col min="8" max="8" width="12.33203125" style="4" customWidth="1"/>
    <col min="9" max="9" width="10.88671875" style="4" customWidth="1"/>
    <col min="10" max="10" width="11.5546875" style="4" customWidth="1"/>
    <col min="11" max="16384" width="11.5546875" style="4"/>
  </cols>
  <sheetData>
    <row r="6" spans="6:9" x14ac:dyDescent="0.25">
      <c r="F6" s="60"/>
      <c r="G6" s="60"/>
      <c r="H6" s="60"/>
      <c r="I6" s="60"/>
    </row>
    <row r="7" spans="6:9" x14ac:dyDescent="0.25">
      <c r="F7" s="60"/>
      <c r="G7" s="60"/>
      <c r="H7" s="61" t="s">
        <v>37</v>
      </c>
      <c r="I7" s="60"/>
    </row>
    <row r="8" spans="6:9" x14ac:dyDescent="0.25">
      <c r="F8" s="60"/>
      <c r="G8" s="60"/>
      <c r="H8" s="62" t="s">
        <v>52</v>
      </c>
      <c r="I8" s="60"/>
    </row>
    <row r="9" spans="6:9" x14ac:dyDescent="0.25">
      <c r="F9" s="60"/>
      <c r="G9" s="60"/>
      <c r="H9" s="63" t="s">
        <v>53</v>
      </c>
      <c r="I9" s="60"/>
    </row>
    <row r="10" spans="6:9" x14ac:dyDescent="0.25">
      <c r="F10" s="60"/>
      <c r="G10" s="60"/>
      <c r="H10" s="60"/>
      <c r="I10" s="60"/>
    </row>
    <row r="17" spans="1:11" ht="15" customHeight="1" x14ac:dyDescent="0.3">
      <c r="A17" s="4" t="s">
        <v>38</v>
      </c>
      <c r="B17" s="48"/>
      <c r="C17" s="48"/>
      <c r="G17" s="4" t="s">
        <v>10</v>
      </c>
    </row>
    <row r="18" spans="1:11" ht="15" customHeight="1" x14ac:dyDescent="0.25">
      <c r="A18" s="4" t="s">
        <v>39</v>
      </c>
      <c r="B18" s="14"/>
      <c r="C18" s="14"/>
      <c r="G18" s="4" t="s">
        <v>12</v>
      </c>
    </row>
    <row r="19" spans="1:11" ht="7.95" customHeight="1" x14ac:dyDescent="0.25"/>
    <row r="20" spans="1:11" ht="6.6" customHeight="1" x14ac:dyDescent="0.25"/>
    <row r="21" spans="1:11" s="54" customFormat="1" ht="31.2" customHeight="1" x14ac:dyDescent="0.25">
      <c r="A21" s="53"/>
      <c r="B21" s="68" t="s">
        <v>40</v>
      </c>
      <c r="C21" s="68"/>
      <c r="D21" s="68"/>
      <c r="E21" s="68"/>
      <c r="F21" s="68"/>
      <c r="G21" s="68"/>
      <c r="H21" s="68"/>
      <c r="I21" s="53" t="s">
        <v>19</v>
      </c>
      <c r="K21" s="54" t="s">
        <v>41</v>
      </c>
    </row>
    <row r="22" spans="1:11" s="20" customFormat="1" ht="15" customHeight="1" x14ac:dyDescent="0.25">
      <c r="B22" s="69" t="s">
        <v>51</v>
      </c>
      <c r="C22" s="69"/>
      <c r="D22" s="69"/>
      <c r="E22" s="69"/>
      <c r="F22" s="69"/>
      <c r="G22" s="69"/>
      <c r="H22" s="69"/>
      <c r="I22" s="70">
        <v>47673.99</v>
      </c>
    </row>
    <row r="23" spans="1:11" ht="15" customHeight="1" x14ac:dyDescent="0.25">
      <c r="B23" s="69"/>
      <c r="C23" s="69"/>
      <c r="D23" s="69"/>
      <c r="E23" s="69"/>
      <c r="F23" s="69"/>
      <c r="G23" s="69"/>
      <c r="H23" s="69"/>
      <c r="I23" s="70"/>
      <c r="J23" s="20"/>
      <c r="K23" s="20"/>
    </row>
    <row r="24" spans="1:11" ht="15" customHeight="1" x14ac:dyDescent="0.3">
      <c r="B24" s="55"/>
      <c r="C24" s="55"/>
      <c r="D24" s="55"/>
      <c r="E24" s="55"/>
      <c r="F24" s="56"/>
      <c r="G24" s="56"/>
      <c r="H24" s="56"/>
      <c r="I24" s="57"/>
      <c r="J24" s="20"/>
      <c r="K24" s="20"/>
    </row>
    <row r="25" spans="1:11" ht="15" customHeight="1" x14ac:dyDescent="0.3">
      <c r="B25" s="56"/>
      <c r="C25" s="56"/>
      <c r="D25" s="56"/>
      <c r="E25" s="56"/>
      <c r="F25" s="56"/>
      <c r="G25" s="56"/>
      <c r="H25" s="56"/>
      <c r="I25" s="57"/>
      <c r="J25" s="20"/>
      <c r="K25" s="20"/>
    </row>
    <row r="26" spans="1:11" ht="15" customHeight="1" x14ac:dyDescent="0.3">
      <c r="B26" s="4" t="s">
        <v>42</v>
      </c>
      <c r="C26" s="56"/>
      <c r="D26" s="56"/>
      <c r="E26" s="56"/>
      <c r="F26" s="56"/>
      <c r="G26" s="56"/>
      <c r="H26" s="56"/>
      <c r="I26" s="57"/>
      <c r="J26" s="20"/>
      <c r="K26" s="20"/>
    </row>
    <row r="27" spans="1:11" ht="15" customHeight="1" x14ac:dyDescent="0.3">
      <c r="B27" s="58"/>
      <c r="C27" s="56"/>
      <c r="D27" s="56"/>
      <c r="E27" s="56"/>
      <c r="F27" s="56"/>
      <c r="G27" s="56"/>
      <c r="H27" s="56"/>
      <c r="I27" s="57"/>
      <c r="J27" s="20"/>
      <c r="K27" s="20"/>
    </row>
    <row r="28" spans="1:11" ht="15" customHeight="1" x14ac:dyDescent="0.3">
      <c r="B28" s="56"/>
      <c r="C28" s="56"/>
      <c r="D28" s="56"/>
      <c r="E28" s="56"/>
      <c r="F28" s="56"/>
      <c r="G28" s="56"/>
      <c r="H28" s="56"/>
      <c r="I28" s="57"/>
      <c r="J28" s="20"/>
      <c r="K28" s="20"/>
    </row>
    <row r="29" spans="1:11" ht="15" customHeight="1" x14ac:dyDescent="0.3">
      <c r="B29" s="56"/>
      <c r="C29" s="56"/>
      <c r="D29" s="56"/>
      <c r="E29" s="56"/>
      <c r="F29" s="56"/>
      <c r="G29" s="56"/>
      <c r="H29" s="56"/>
      <c r="I29" s="57"/>
      <c r="J29" s="20"/>
    </row>
    <row r="30" spans="1:11" ht="15" customHeight="1" x14ac:dyDescent="0.3">
      <c r="B30" s="56"/>
      <c r="C30" s="56"/>
      <c r="D30" s="56"/>
      <c r="E30" s="56"/>
      <c r="F30" s="56"/>
      <c r="G30" s="56"/>
      <c r="H30" s="56"/>
      <c r="I30" s="57"/>
      <c r="J30" s="20"/>
      <c r="K30" s="20"/>
    </row>
    <row r="31" spans="1:11" ht="16.95" customHeight="1" x14ac:dyDescent="0.3">
      <c r="B31" s="56"/>
      <c r="C31" s="56"/>
      <c r="D31" s="56"/>
      <c r="E31" s="56"/>
      <c r="F31" s="56"/>
      <c r="G31" s="56"/>
      <c r="H31" s="56"/>
      <c r="I31" s="57"/>
      <c r="J31" s="20"/>
      <c r="K31" s="20"/>
    </row>
    <row r="32" spans="1:11" ht="16.95" customHeight="1" x14ac:dyDescent="0.3">
      <c r="B32" s="56"/>
      <c r="C32" s="56"/>
      <c r="D32" s="56"/>
      <c r="E32" s="56"/>
      <c r="F32" s="56"/>
      <c r="G32" s="56"/>
      <c r="H32" s="56"/>
      <c r="I32" s="57"/>
      <c r="J32" s="20"/>
      <c r="K32" s="20"/>
    </row>
    <row r="33" spans="1:9" ht="16.95" customHeight="1" x14ac:dyDescent="0.25">
      <c r="H33" s="11" t="s">
        <v>33</v>
      </c>
      <c r="I33" s="45">
        <f>SUM(I22)</f>
        <v>47673.99</v>
      </c>
    </row>
    <row r="34" spans="1:9" ht="16.95" customHeight="1" x14ac:dyDescent="0.25">
      <c r="H34" s="11" t="s">
        <v>43</v>
      </c>
      <c r="I34" s="45">
        <f>+I33*20%</f>
        <v>9534.7980000000007</v>
      </c>
    </row>
    <row r="35" spans="1:9" ht="16.95" customHeight="1" x14ac:dyDescent="0.25">
      <c r="H35" s="11" t="s">
        <v>44</v>
      </c>
      <c r="I35" s="45">
        <f>+I33+I34+0.01</f>
        <v>57208.798000000003</v>
      </c>
    </row>
    <row r="36" spans="1:9" ht="16.95" customHeight="1" x14ac:dyDescent="0.25">
      <c r="I36" s="45"/>
    </row>
    <row r="37" spans="1:9" ht="16.95" customHeight="1" x14ac:dyDescent="0.25"/>
    <row r="38" spans="1:9" s="59" customFormat="1" ht="30.6" customHeight="1" x14ac:dyDescent="0.25">
      <c r="B38" s="71" t="s">
        <v>45</v>
      </c>
      <c r="C38" s="71"/>
      <c r="D38" s="71"/>
      <c r="E38" s="71"/>
      <c r="F38" s="71"/>
      <c r="G38" s="71"/>
      <c r="H38" s="71"/>
      <c r="I38" s="71"/>
    </row>
    <row r="39" spans="1:9" s="59" customFormat="1" ht="12.6" customHeight="1" x14ac:dyDescent="0.25">
      <c r="B39" s="71" t="s">
        <v>46</v>
      </c>
      <c r="C39" s="71"/>
      <c r="D39" s="71"/>
      <c r="E39" s="71"/>
      <c r="F39" s="71"/>
      <c r="G39" s="71"/>
      <c r="H39" s="71"/>
      <c r="I39" s="71"/>
    </row>
    <row r="40" spans="1:9" ht="7.95" customHeight="1" x14ac:dyDescent="0.25"/>
    <row r="41" spans="1:9" ht="8.4" customHeight="1" x14ac:dyDescent="0.25"/>
    <row r="42" spans="1:9" x14ac:dyDescent="0.25">
      <c r="A42" s="4" t="s">
        <v>47</v>
      </c>
    </row>
    <row r="43" spans="1:9" ht="12.6" customHeight="1" x14ac:dyDescent="0.25">
      <c r="A43" s="4" t="s">
        <v>48</v>
      </c>
    </row>
    <row r="44" spans="1:9" ht="12" customHeight="1" x14ac:dyDescent="0.25">
      <c r="A44" s="4" t="s">
        <v>49</v>
      </c>
    </row>
    <row r="45" spans="1:9" ht="12.6" customHeight="1" x14ac:dyDescent="0.25">
      <c r="A45" s="4" t="s">
        <v>50</v>
      </c>
    </row>
    <row r="51" spans="2:8" x14ac:dyDescent="0.25">
      <c r="B51" s="52"/>
      <c r="C51" s="50"/>
      <c r="D51" s="51"/>
      <c r="E51" s="51"/>
      <c r="F51" s="50"/>
      <c r="G51" s="50"/>
      <c r="H51" s="50"/>
    </row>
    <row r="52" spans="2:8" x14ac:dyDescent="0.25">
      <c r="B52" s="52"/>
      <c r="C52" s="50"/>
      <c r="D52" s="51"/>
      <c r="E52" s="51"/>
      <c r="F52" s="50"/>
      <c r="G52" s="50"/>
      <c r="H52" s="50"/>
    </row>
    <row r="53" spans="2:8" x14ac:dyDescent="0.25">
      <c r="B53" s="52"/>
      <c r="C53" s="50"/>
      <c r="D53" s="51"/>
      <c r="E53" s="51"/>
      <c r="F53" s="50"/>
      <c r="G53" s="50"/>
      <c r="H53" s="50"/>
    </row>
    <row r="54" spans="2:8" x14ac:dyDescent="0.25">
      <c r="B54" s="49" t="s">
        <v>34</v>
      </c>
    </row>
    <row r="55" spans="2:8" x14ac:dyDescent="0.25">
      <c r="B55" s="49" t="s">
        <v>35</v>
      </c>
    </row>
    <row r="56" spans="2:8" x14ac:dyDescent="0.25">
      <c r="B56" s="49" t="s">
        <v>36</v>
      </c>
    </row>
  </sheetData>
  <mergeCells count="5">
    <mergeCell ref="B21:H21"/>
    <mergeCell ref="B22:H23"/>
    <mergeCell ref="I22:I23"/>
    <mergeCell ref="B38:I38"/>
    <mergeCell ref="B39:I39"/>
  </mergeCells>
  <pageMargins left="0.39370078740157483" right="0.39370078740157483" top="0.15748031496062992" bottom="0.15748031496062992" header="0.15748031496062992" footer="0.15748031496062992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EFC2-EE9C-426B-875F-F79D543CBEF6}">
  <sheetPr>
    <tabColor rgb="FF92D050"/>
  </sheetPr>
  <dimension ref="A1:S53"/>
  <sheetViews>
    <sheetView workbookViewId="0">
      <selection activeCell="O28" sqref="O28"/>
    </sheetView>
  </sheetViews>
  <sheetFormatPr defaultColWidth="11.5546875" defaultRowHeight="14.4" x14ac:dyDescent="0.3"/>
  <cols>
    <col min="1" max="1" width="11.5546875" style="1" customWidth="1"/>
    <col min="2" max="2" width="48.44140625" style="1" hidden="1" customWidth="1"/>
    <col min="3" max="3" width="23.44140625" style="2" hidden="1" customWidth="1"/>
    <col min="4" max="4" width="20.5546875" style="1" hidden="1" customWidth="1"/>
    <col min="5" max="5" width="20.5546875" style="3" hidden="1" customWidth="1"/>
    <col min="6" max="6" width="20.5546875" style="1" hidden="1" customWidth="1"/>
    <col min="7" max="7" width="11.5546875" style="1" hidden="1" customWidth="1"/>
    <col min="8" max="8" width="12.33203125" style="1" hidden="1" customWidth="1"/>
    <col min="9" max="9" width="17.33203125" style="1" hidden="1" customWidth="1"/>
    <col min="10" max="10" width="8.6640625" style="1" customWidth="1"/>
    <col min="11" max="11" width="50" style="1" customWidth="1"/>
    <col min="12" max="12" width="10.33203125" style="1" customWidth="1"/>
    <col min="13" max="13" width="11.109375" style="1" customWidth="1"/>
    <col min="14" max="14" width="11.33203125" style="1" customWidth="1"/>
    <col min="15" max="15" width="13.88671875" style="1" customWidth="1"/>
    <col min="16" max="17" width="11.5546875" style="1" customWidth="1"/>
    <col min="18" max="18" width="13.88671875" style="1" customWidth="1"/>
    <col min="19" max="19" width="11.5546875" style="1" customWidth="1"/>
    <col min="20" max="16384" width="11.5546875" style="1"/>
  </cols>
  <sheetData>
    <row r="1" spans="1:18" x14ac:dyDescent="0.3">
      <c r="A1" s="64"/>
      <c r="J1" s="4"/>
      <c r="K1" s="4"/>
      <c r="O1" s="5"/>
      <c r="R1" s="5"/>
    </row>
    <row r="2" spans="1:18" ht="14.7" customHeight="1" x14ac:dyDescent="0.3">
      <c r="J2" s="4"/>
      <c r="K2" s="4"/>
      <c r="O2" s="5"/>
      <c r="R2" s="5"/>
    </row>
    <row r="3" spans="1:18" ht="14.7" customHeight="1" x14ac:dyDescent="0.3">
      <c r="J3" s="4"/>
      <c r="K3" s="4"/>
      <c r="O3" s="5"/>
      <c r="R3" s="5"/>
    </row>
    <row r="4" spans="1:18" ht="14.7" customHeight="1" x14ac:dyDescent="0.3">
      <c r="J4" s="4"/>
      <c r="K4" s="4"/>
      <c r="O4" s="5"/>
      <c r="R4" s="5"/>
    </row>
    <row r="5" spans="1:18" s="6" customFormat="1" x14ac:dyDescent="0.3">
      <c r="B5" s="7" t="s">
        <v>0</v>
      </c>
      <c r="C5" s="7" t="s">
        <v>1</v>
      </c>
      <c r="E5" s="8"/>
      <c r="J5" s="9"/>
      <c r="K5" s="9"/>
      <c r="L5" s="10"/>
      <c r="M5" s="9"/>
      <c r="N5" s="9"/>
      <c r="O5" s="11"/>
      <c r="R5" s="11"/>
    </row>
    <row r="6" spans="1:18" s="6" customFormat="1" ht="14.4" customHeight="1" x14ac:dyDescent="0.3">
      <c r="B6" s="12">
        <v>1</v>
      </c>
      <c r="C6" s="12" t="s">
        <v>2</v>
      </c>
      <c r="E6" s="8"/>
      <c r="J6" s="9"/>
      <c r="K6" s="9"/>
      <c r="L6" s="65" t="s">
        <v>3</v>
      </c>
      <c r="M6" s="65"/>
      <c r="N6" s="65"/>
      <c r="O6" s="65"/>
      <c r="R6" s="11"/>
    </row>
    <row r="7" spans="1:18" s="6" customFormat="1" ht="14.7" customHeight="1" x14ac:dyDescent="0.3">
      <c r="B7" s="12">
        <v>2</v>
      </c>
      <c r="C7" s="12" t="s">
        <v>4</v>
      </c>
      <c r="E7" s="8"/>
      <c r="J7" s="9"/>
      <c r="K7" s="9"/>
      <c r="L7" s="65"/>
      <c r="M7" s="65"/>
      <c r="N7" s="65"/>
      <c r="O7" s="65"/>
      <c r="R7" s="11"/>
    </row>
    <row r="8" spans="1:18" x14ac:dyDescent="0.3">
      <c r="B8" s="13">
        <v>3</v>
      </c>
      <c r="C8" s="13" t="s">
        <v>5</v>
      </c>
      <c r="J8" s="4"/>
      <c r="K8" s="4"/>
      <c r="L8" s="14"/>
      <c r="M8" s="4"/>
      <c r="N8" s="4"/>
      <c r="O8" s="4"/>
      <c r="R8" s="4"/>
    </row>
    <row r="9" spans="1:18" x14ac:dyDescent="0.3">
      <c r="B9" s="13">
        <v>4</v>
      </c>
      <c r="C9" s="13" t="s">
        <v>6</v>
      </c>
      <c r="J9" s="4"/>
      <c r="K9" s="4"/>
      <c r="L9" s="14"/>
      <c r="M9" s="4"/>
      <c r="N9" s="4"/>
      <c r="O9" s="4"/>
      <c r="R9" s="4"/>
    </row>
    <row r="10" spans="1:18" x14ac:dyDescent="0.3">
      <c r="B10" s="13">
        <v>5</v>
      </c>
      <c r="C10" s="13" t="s">
        <v>7</v>
      </c>
      <c r="J10" s="4"/>
      <c r="K10" s="4"/>
      <c r="L10" s="14"/>
      <c r="M10" s="4"/>
      <c r="N10" s="4"/>
      <c r="O10" s="4"/>
      <c r="R10" s="4"/>
    </row>
    <row r="11" spans="1:18" x14ac:dyDescent="0.3">
      <c r="B11" s="13"/>
      <c r="C11" s="13"/>
      <c r="J11" s="4"/>
      <c r="K11" s="4"/>
      <c r="L11" s="14"/>
      <c r="M11" s="4"/>
      <c r="N11" s="4"/>
      <c r="O11" s="4"/>
      <c r="R11" s="4"/>
    </row>
    <row r="12" spans="1:18" x14ac:dyDescent="0.3">
      <c r="B12" s="13"/>
      <c r="C12" s="13"/>
      <c r="J12" s="4"/>
      <c r="K12" s="4"/>
      <c r="L12" s="14"/>
      <c r="M12" s="4"/>
      <c r="N12" s="4"/>
      <c r="O12" s="4"/>
      <c r="R12" s="4"/>
    </row>
    <row r="13" spans="1:18" s="6" customFormat="1" x14ac:dyDescent="0.3">
      <c r="B13" s="12">
        <v>6</v>
      </c>
      <c r="C13" s="12" t="s">
        <v>8</v>
      </c>
      <c r="E13" s="8"/>
      <c r="L13" s="10"/>
      <c r="M13" s="9"/>
      <c r="N13" s="9"/>
      <c r="O13" s="9"/>
      <c r="R13" s="9"/>
    </row>
    <row r="14" spans="1:18" s="6" customFormat="1" x14ac:dyDescent="0.3">
      <c r="B14" s="15" t="e">
        <f>CONCATENATE("Détail des prestations du mois de ",#REF!,"/",YEAR(#REF!))</f>
        <v>#REF!</v>
      </c>
      <c r="C14" s="16"/>
      <c r="E14" s="8"/>
      <c r="J14" s="9" t="s">
        <v>9</v>
      </c>
      <c r="K14" s="9"/>
      <c r="L14" s="10"/>
      <c r="M14" s="9" t="s">
        <v>10</v>
      </c>
      <c r="O14" s="9"/>
      <c r="R14" s="9"/>
    </row>
    <row r="15" spans="1:18" s="6" customFormat="1" x14ac:dyDescent="0.3">
      <c r="C15" s="16"/>
      <c r="E15" s="8"/>
      <c r="J15" s="66" t="s">
        <v>11</v>
      </c>
      <c r="K15" s="66"/>
      <c r="L15" s="10"/>
      <c r="M15" s="9" t="s">
        <v>12</v>
      </c>
      <c r="O15" s="9"/>
      <c r="R15" s="9"/>
    </row>
    <row r="16" spans="1:18" s="6" customFormat="1" x14ac:dyDescent="0.3">
      <c r="B16" s="15" t="s">
        <v>13</v>
      </c>
      <c r="C16" s="16"/>
      <c r="E16" s="8"/>
      <c r="J16" s="9"/>
      <c r="K16" s="9"/>
      <c r="L16" s="10"/>
      <c r="M16" s="9"/>
      <c r="N16" s="9"/>
      <c r="O16" s="9"/>
      <c r="R16" s="9"/>
    </row>
    <row r="17" spans="1:19" ht="26.4" x14ac:dyDescent="0.3">
      <c r="B17" s="17" t="s">
        <v>14</v>
      </c>
      <c r="C17" s="2" t="e">
        <f>VLOOKUP(A1,#REF!,2,0)</f>
        <v>#REF!</v>
      </c>
      <c r="J17" s="18"/>
      <c r="K17" s="19" t="s">
        <v>15</v>
      </c>
      <c r="L17" s="19" t="s">
        <v>16</v>
      </c>
      <c r="M17" s="19" t="s">
        <v>17</v>
      </c>
      <c r="N17" s="19" t="s">
        <v>18</v>
      </c>
      <c r="O17" s="19" t="s">
        <v>19</v>
      </c>
      <c r="R17" s="19" t="s">
        <v>19</v>
      </c>
    </row>
    <row r="18" spans="1:19" ht="14.4" customHeight="1" x14ac:dyDescent="0.3">
      <c r="J18" s="20"/>
      <c r="K18" s="21"/>
      <c r="L18" s="21"/>
      <c r="M18" s="21"/>
      <c r="N18" s="21"/>
      <c r="O18" s="21"/>
      <c r="R18" s="21"/>
    </row>
    <row r="19" spans="1:19" x14ac:dyDescent="0.3">
      <c r="B19" s="22" t="s">
        <v>20</v>
      </c>
      <c r="C19" s="13" t="s">
        <v>21</v>
      </c>
      <c r="D19" s="23" t="e">
        <f>#VALUE!</f>
        <v>#VALUE!</v>
      </c>
      <c r="E19" s="24">
        <v>1.8E-3</v>
      </c>
      <c r="F19" s="25" t="e">
        <f>E19*D19</f>
        <v>#VALUE!</v>
      </c>
      <c r="L19" s="26"/>
      <c r="M19" s="27"/>
      <c r="N19" s="28"/>
      <c r="O19" s="27"/>
      <c r="R19" s="27"/>
    </row>
    <row r="20" spans="1:19" s="35" customFormat="1" x14ac:dyDescent="0.3">
      <c r="A20" s="1"/>
      <c r="B20" s="29" t="s">
        <v>22</v>
      </c>
      <c r="C20" s="30"/>
      <c r="D20" s="31"/>
      <c r="E20" s="32"/>
      <c r="F20" s="33"/>
      <c r="G20" s="1"/>
      <c r="H20" s="1"/>
      <c r="I20" s="1"/>
      <c r="J20" s="67" t="s">
        <v>23</v>
      </c>
      <c r="K20" s="67"/>
      <c r="L20" s="1"/>
      <c r="M20" s="1"/>
      <c r="N20" s="1"/>
      <c r="O20" s="1"/>
      <c r="P20" s="1"/>
      <c r="Q20" s="1"/>
      <c r="R20" s="34">
        <f>+O21</f>
        <v>33.119999999999997</v>
      </c>
      <c r="S20" s="1"/>
    </row>
    <row r="21" spans="1:19" s="35" customFormat="1" x14ac:dyDescent="0.3">
      <c r="A21" s="1"/>
      <c r="B21" s="29"/>
      <c r="C21" s="30"/>
      <c r="D21" s="31"/>
      <c r="E21" s="32"/>
      <c r="F21" s="33"/>
      <c r="G21" s="1"/>
      <c r="H21" s="1"/>
      <c r="I21" s="1"/>
      <c r="J21" s="36"/>
      <c r="K21" s="37" t="s">
        <v>24</v>
      </c>
      <c r="L21" s="38" t="s">
        <v>25</v>
      </c>
      <c r="M21" s="39">
        <v>368</v>
      </c>
      <c r="N21" s="40">
        <v>0.09</v>
      </c>
      <c r="O21" s="41">
        <f>+M21*N21</f>
        <v>33.119999999999997</v>
      </c>
      <c r="P21" s="1"/>
      <c r="Q21" s="1"/>
      <c r="R21" s="34">
        <f>+O22</f>
        <v>41.76</v>
      </c>
      <c r="S21" s="1"/>
    </row>
    <row r="22" spans="1:19" s="35" customFormat="1" x14ac:dyDescent="0.3">
      <c r="A22" s="1"/>
      <c r="B22" s="22" t="s">
        <v>26</v>
      </c>
      <c r="C22" s="13" t="s">
        <v>27</v>
      </c>
      <c r="D22" s="23">
        <v>1</v>
      </c>
      <c r="E22" s="25">
        <v>1000</v>
      </c>
      <c r="F22" s="25">
        <f>E22*D22</f>
        <v>1000</v>
      </c>
      <c r="G22" s="1"/>
      <c r="H22" s="1"/>
      <c r="I22" s="1"/>
      <c r="J22" s="4"/>
      <c r="K22" s="20" t="s">
        <v>28</v>
      </c>
      <c r="L22" s="38" t="s">
        <v>25</v>
      </c>
      <c r="M22" s="42">
        <v>464</v>
      </c>
      <c r="N22" s="40">
        <v>0.09</v>
      </c>
      <c r="O22" s="41">
        <f>+M22*N22</f>
        <v>41.76</v>
      </c>
      <c r="P22" s="1"/>
      <c r="Q22" s="1"/>
      <c r="R22" s="34"/>
      <c r="S22" s="1"/>
    </row>
    <row r="23" spans="1:19" s="35" customFormat="1" x14ac:dyDescent="0.3">
      <c r="A23" s="1"/>
      <c r="B23" s="22"/>
      <c r="C23" s="13"/>
      <c r="D23" s="23"/>
      <c r="E23" s="25"/>
      <c r="F23" s="25"/>
      <c r="G23" s="1"/>
      <c r="H23" s="1"/>
      <c r="I23" s="1"/>
      <c r="J23" s="4"/>
      <c r="K23" s="4"/>
      <c r="L23" s="38"/>
      <c r="M23" s="39"/>
      <c r="N23" s="40"/>
      <c r="O23" s="41"/>
      <c r="P23" s="1"/>
      <c r="Q23" s="1"/>
      <c r="R23" s="34"/>
      <c r="S23" s="1"/>
    </row>
    <row r="24" spans="1:19" s="35" customFormat="1" x14ac:dyDescent="0.3">
      <c r="A24" s="1"/>
      <c r="B24" s="29" t="s">
        <v>22</v>
      </c>
      <c r="C24" s="30"/>
      <c r="D24" s="31"/>
      <c r="E24" s="32"/>
      <c r="F24" s="33"/>
      <c r="G24" s="1"/>
      <c r="H24" s="1"/>
      <c r="I24" s="1"/>
      <c r="J24" s="67" t="s">
        <v>29</v>
      </c>
      <c r="K24" s="67"/>
      <c r="L24" s="1"/>
      <c r="M24" s="1"/>
      <c r="N24" s="1"/>
      <c r="O24" s="46"/>
      <c r="P24" s="1"/>
      <c r="Q24" s="1"/>
      <c r="R24" s="34">
        <f>+O25</f>
        <v>47599.11</v>
      </c>
      <c r="S24" s="1"/>
    </row>
    <row r="25" spans="1:19" s="35" customFormat="1" x14ac:dyDescent="0.3">
      <c r="A25" s="1"/>
      <c r="B25" s="29"/>
      <c r="C25" s="30"/>
      <c r="D25" s="31"/>
      <c r="E25" s="32"/>
      <c r="F25" s="33"/>
      <c r="G25" s="1"/>
      <c r="H25" s="1"/>
      <c r="I25" s="1"/>
      <c r="J25" s="36"/>
      <c r="K25" s="37" t="s">
        <v>30</v>
      </c>
      <c r="L25" s="38" t="s">
        <v>25</v>
      </c>
      <c r="M25" s="39">
        <v>528879</v>
      </c>
      <c r="N25" s="40">
        <v>0.09</v>
      </c>
      <c r="O25" s="41">
        <f>+M25*N25</f>
        <v>47599.11</v>
      </c>
      <c r="P25" s="1"/>
      <c r="Q25" s="1"/>
      <c r="R25" s="34"/>
      <c r="S25" s="1"/>
    </row>
    <row r="26" spans="1:19" s="35" customFormat="1" x14ac:dyDescent="0.3">
      <c r="A26" s="1"/>
      <c r="B26" s="22" t="s">
        <v>26</v>
      </c>
      <c r="C26" s="13" t="s">
        <v>27</v>
      </c>
      <c r="D26" s="23">
        <v>1</v>
      </c>
      <c r="E26" s="25">
        <v>1000</v>
      </c>
      <c r="F26" s="25">
        <f>E26*D26</f>
        <v>1000</v>
      </c>
      <c r="G26" s="1"/>
      <c r="H26" s="1"/>
      <c r="I26" s="1"/>
      <c r="J26" s="4"/>
      <c r="K26" s="20" t="s">
        <v>31</v>
      </c>
      <c r="L26" s="38"/>
      <c r="M26" s="39"/>
      <c r="N26" s="40"/>
      <c r="O26" s="41"/>
      <c r="P26" s="1"/>
      <c r="Q26" s="1"/>
      <c r="R26" s="34"/>
      <c r="S26" s="1"/>
    </row>
    <row r="27" spans="1:19" s="35" customFormat="1" x14ac:dyDescent="0.3">
      <c r="A27" s="1"/>
      <c r="B27" s="22"/>
      <c r="C27" s="13"/>
      <c r="D27" s="23"/>
      <c r="E27" s="25"/>
      <c r="F27" s="25"/>
      <c r="G27" s="1"/>
      <c r="H27" s="1"/>
      <c r="I27" s="1"/>
      <c r="J27" s="4"/>
      <c r="K27" s="20"/>
      <c r="L27" s="38"/>
      <c r="M27" s="39"/>
      <c r="N27" s="40"/>
      <c r="O27" s="41"/>
      <c r="P27" s="1"/>
      <c r="Q27" s="1"/>
      <c r="R27" s="34">
        <f>+O28</f>
        <v>47673.99</v>
      </c>
      <c r="S27" s="1"/>
    </row>
    <row r="28" spans="1:19" s="35" customFormat="1" x14ac:dyDescent="0.3">
      <c r="A28" s="1"/>
      <c r="B28" s="7"/>
      <c r="C28" s="7"/>
      <c r="D28" s="7"/>
      <c r="E28" s="43" t="s">
        <v>32</v>
      </c>
      <c r="F28" s="44" t="e">
        <f>F22+#REF!+#REF!+#REF!+#REF!+#REF!+#REF!+#REF!</f>
        <v>#REF!</v>
      </c>
      <c r="G28" s="1"/>
      <c r="H28" s="1"/>
      <c r="I28" s="1"/>
      <c r="J28" s="4"/>
      <c r="K28" s="4"/>
      <c r="L28" s="14"/>
      <c r="M28" s="4"/>
      <c r="N28" s="11" t="s">
        <v>33</v>
      </c>
      <c r="O28" s="45">
        <f>SUM(O21:O26)</f>
        <v>47673.99</v>
      </c>
      <c r="P28" s="1"/>
      <c r="Q28" s="1"/>
      <c r="R28" s="34">
        <f>+O29</f>
        <v>0</v>
      </c>
      <c r="S28" s="1"/>
    </row>
    <row r="29" spans="1:19" s="35" customFormat="1" x14ac:dyDescent="0.3">
      <c r="A29" s="1"/>
      <c r="B29" s="1"/>
      <c r="C29" s="2"/>
      <c r="D29" s="1"/>
      <c r="E29" s="3"/>
      <c r="F29" s="1"/>
      <c r="G29" s="1"/>
      <c r="H29" s="1"/>
      <c r="I29" s="1"/>
      <c r="J29" s="4"/>
      <c r="K29" s="4"/>
      <c r="L29" s="14"/>
      <c r="M29" s="4"/>
      <c r="N29" s="11"/>
      <c r="O29" s="45"/>
      <c r="P29" s="1"/>
      <c r="Q29" s="1"/>
      <c r="R29" s="45"/>
      <c r="S29" s="1"/>
    </row>
    <row r="31" spans="1:19" s="35" customFormat="1" x14ac:dyDescent="0.3">
      <c r="A31" s="1"/>
      <c r="B31" s="1"/>
      <c r="C31" s="2"/>
      <c r="D31" s="1"/>
      <c r="E31" s="3"/>
      <c r="F31" s="1"/>
      <c r="G31" s="1"/>
      <c r="H31" s="1"/>
      <c r="I31" s="1"/>
      <c r="J31" s="1"/>
      <c r="K31" s="1"/>
      <c r="L31" s="1"/>
      <c r="M31" s="1"/>
      <c r="N31" s="1"/>
      <c r="O31" s="46"/>
      <c r="P31" s="1"/>
      <c r="Q31" s="1"/>
      <c r="R31" s="47">
        <f>O28*20%</f>
        <v>9534.7980000000007</v>
      </c>
      <c r="S31" s="1"/>
    </row>
    <row r="32" spans="1:19" s="35" customFormat="1" x14ac:dyDescent="0.3">
      <c r="A32" s="1"/>
      <c r="B32" s="1"/>
      <c r="C32" s="2"/>
      <c r="D32" s="1"/>
      <c r="E32" s="3"/>
      <c r="F32" s="1"/>
      <c r="G32" s="1"/>
      <c r="H32" s="1"/>
      <c r="I32" s="1"/>
      <c r="J32" s="1"/>
      <c r="K32" s="1"/>
      <c r="L32" s="1"/>
      <c r="M32" s="1"/>
      <c r="N32" s="1"/>
      <c r="O32" s="46"/>
      <c r="P32" s="1"/>
      <c r="Q32" s="1"/>
      <c r="R32" s="47">
        <f>O28+R31</f>
        <v>57208.788</v>
      </c>
      <c r="S32" s="1"/>
    </row>
    <row r="34" spans="1:19" s="35" customFormat="1" x14ac:dyDescent="0.3">
      <c r="A34" s="1"/>
      <c r="B34" s="1"/>
      <c r="C34" s="2"/>
      <c r="D34" s="1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46"/>
      <c r="S34" s="1"/>
    </row>
    <row r="35" spans="1:19" s="35" customFormat="1" x14ac:dyDescent="0.3">
      <c r="A35" s="4"/>
      <c r="B35" s="4"/>
      <c r="C35" s="4"/>
      <c r="D35" s="14"/>
      <c r="E35" s="14"/>
      <c r="F35" s="4"/>
      <c r="G35" s="4"/>
      <c r="H35" s="4"/>
      <c r="I35" s="5"/>
      <c r="J35" s="4"/>
      <c r="K35" s="4"/>
      <c r="L35" s="4"/>
      <c r="M35" s="1"/>
      <c r="N35" s="1"/>
      <c r="O35" s="1"/>
      <c r="P35" s="1"/>
      <c r="Q35" s="1"/>
      <c r="R35" s="1"/>
      <c r="S35" s="1"/>
    </row>
    <row r="36" spans="1:19" s="35" customFormat="1" x14ac:dyDescent="0.3">
      <c r="A36" s="1"/>
      <c r="B36" s="1"/>
      <c r="C36" s="2"/>
      <c r="D36" s="1"/>
      <c r="E36" s="3"/>
      <c r="F36" s="1"/>
      <c r="G36" s="1"/>
      <c r="H36" s="1"/>
      <c r="I36" s="1"/>
      <c r="J36" s="1"/>
      <c r="K36" s="1"/>
      <c r="L36" s="1"/>
      <c r="M36" s="1"/>
      <c r="N36" s="1"/>
      <c r="O36" s="46"/>
      <c r="P36" s="1"/>
      <c r="Q36" s="1"/>
      <c r="R36" s="46"/>
      <c r="S36" s="1"/>
    </row>
    <row r="38" spans="1:19" s="35" customFormat="1" x14ac:dyDescent="0.3">
      <c r="A38" s="1"/>
      <c r="B38" s="1"/>
      <c r="C38" s="2"/>
      <c r="D38" s="1"/>
      <c r="E38" s="3"/>
      <c r="F38" s="1"/>
      <c r="G38" s="1"/>
      <c r="H38" s="1"/>
      <c r="I38" s="1"/>
      <c r="J38" s="4"/>
      <c r="K38" s="48"/>
      <c r="L38" s="48"/>
      <c r="M38" s="14"/>
      <c r="N38" s="14"/>
      <c r="O38" s="4"/>
      <c r="P38" s="4"/>
      <c r="Q38" s="4"/>
      <c r="R38" s="4"/>
      <c r="S38" s="4"/>
    </row>
    <row r="39" spans="1:19" s="35" customFormat="1" x14ac:dyDescent="0.3">
      <c r="A39" s="1"/>
      <c r="B39" s="1"/>
      <c r="C39" s="2"/>
      <c r="D39" s="1"/>
      <c r="E39" s="3"/>
      <c r="F39" s="1"/>
      <c r="G39" s="1"/>
      <c r="H39" s="1"/>
      <c r="I39" s="1"/>
      <c r="J39" s="4"/>
      <c r="K39" s="14"/>
      <c r="L39" s="14"/>
      <c r="M39" s="14"/>
      <c r="N39" s="14"/>
      <c r="O39" s="4"/>
      <c r="P39" s="4"/>
      <c r="Q39" s="4"/>
      <c r="R39" s="4"/>
      <c r="S39" s="4"/>
    </row>
    <row r="40" spans="1:19" s="35" customFormat="1" x14ac:dyDescent="0.3">
      <c r="A40" s="1"/>
      <c r="B40" s="1"/>
      <c r="C40" s="2"/>
      <c r="D40" s="1"/>
      <c r="E40" s="3"/>
      <c r="F40" s="1"/>
      <c r="G40" s="1"/>
      <c r="H40" s="1"/>
      <c r="I40" s="1"/>
      <c r="J40" s="1"/>
      <c r="K40" s="1"/>
      <c r="L40" s="1"/>
      <c r="M40" s="1"/>
      <c r="N40" s="40"/>
      <c r="O40" s="1"/>
      <c r="P40" s="1"/>
      <c r="Q40" s="1"/>
      <c r="R40" s="1"/>
      <c r="S40" s="1"/>
    </row>
    <row r="50" spans="1:19" x14ac:dyDescent="0.3">
      <c r="K50" s="49" t="s">
        <v>34</v>
      </c>
    </row>
    <row r="51" spans="1:19" s="35" customFormat="1" x14ac:dyDescent="0.3">
      <c r="A51" s="1"/>
      <c r="B51" s="1"/>
      <c r="C51" s="2"/>
      <c r="D51" s="1"/>
      <c r="E51" s="3"/>
      <c r="F51" s="1"/>
      <c r="G51" s="1"/>
      <c r="H51" s="1"/>
      <c r="I51" s="1"/>
      <c r="J51" s="1"/>
      <c r="K51" s="49" t="s">
        <v>35</v>
      </c>
      <c r="L51" s="50"/>
      <c r="M51" s="51"/>
      <c r="N51" s="51"/>
      <c r="O51" s="50"/>
      <c r="P51" s="50"/>
      <c r="Q51" s="50"/>
      <c r="R51" s="1"/>
      <c r="S51" s="1"/>
    </row>
    <row r="52" spans="1:19" s="35" customFormat="1" x14ac:dyDescent="0.3">
      <c r="A52" s="1"/>
      <c r="B52" s="1"/>
      <c r="C52" s="2"/>
      <c r="D52" s="1"/>
      <c r="E52" s="3"/>
      <c r="F52" s="1"/>
      <c r="G52" s="1"/>
      <c r="H52" s="1"/>
      <c r="I52" s="1"/>
      <c r="J52" s="1"/>
      <c r="K52" s="49" t="s">
        <v>36</v>
      </c>
      <c r="L52" s="50"/>
      <c r="M52" s="51"/>
      <c r="N52" s="51"/>
      <c r="O52" s="50"/>
      <c r="P52" s="50"/>
      <c r="Q52" s="50"/>
      <c r="R52" s="1"/>
      <c r="S52" s="1"/>
    </row>
    <row r="53" spans="1:19" s="35" customFormat="1" x14ac:dyDescent="0.3">
      <c r="A53" s="1"/>
      <c r="B53" s="1"/>
      <c r="C53" s="2"/>
      <c r="D53" s="1"/>
      <c r="E53" s="3"/>
      <c r="F53" s="1"/>
      <c r="G53" s="1"/>
      <c r="H53" s="1"/>
      <c r="I53" s="1"/>
      <c r="J53" s="1"/>
      <c r="K53" s="52"/>
      <c r="L53" s="50"/>
      <c r="M53" s="51"/>
      <c r="N53" s="51"/>
      <c r="O53" s="50"/>
      <c r="P53" s="50"/>
      <c r="Q53" s="50"/>
      <c r="R53" s="1"/>
      <c r="S53" s="1"/>
    </row>
  </sheetData>
  <mergeCells count="4">
    <mergeCell ref="L6:O7"/>
    <mergeCell ref="J15:K15"/>
    <mergeCell ref="J20:K20"/>
    <mergeCell ref="J24:K24"/>
  </mergeCells>
  <pageMargins left="0.31496062992126012" right="0.31496062992126012" top="0.74803149606299213" bottom="0.74803149606299213" header="0.31496062992126012" footer="0.31496062992126012"/>
  <pageSetup paperSize="0" scale="83" fitToWidth="0" fitToHeight="0" orientation="portrait" horizontalDpi="0" verticalDpi="0" copies="0"/>
  <headerFooter>
    <oddFooter>&amp;L_x000D_&amp;1#&amp;"Aptos"&amp;10&amp;K0000FF Interne / Internal</oddFooter>
  </headerFooter>
  <drawing r:id="rId1"/>
</worksheet>
</file>

<file path=docMetadata/LabelInfo.xml><?xml version="1.0" encoding="utf-8"?>
<clbl:labelList xmlns:clbl="http://schemas.microsoft.com/office/2020/mipLabelMetadata">
  <clbl:label id="{b749c72b-576f-466e-b1e3-26c93f36d0c5}" enabled="1" method="Standard" siteId="{c4e3401b-f93d-4fc7-9a42-f1552dec34d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F_RUN_WANA_Mars</vt:lpstr>
      <vt:lpstr>WANA_Mars</vt:lpstr>
      <vt:lpstr>F_RUN_WANA_Mars!Print_Area</vt:lpstr>
      <vt:lpstr>WANA_Mars!Print_Area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Fatima-Zahra Dahbi</dc:creator>
  <cp:lastModifiedBy>Sami Fathallah</cp:lastModifiedBy>
  <cp:lastPrinted>2026-04-13T10:39:23Z</cp:lastPrinted>
  <dcterms:created xsi:type="dcterms:W3CDTF">2026-03-11T11:05:07Z</dcterms:created>
  <dcterms:modified xsi:type="dcterms:W3CDTF">2026-04-13T10:56:56Z</dcterms:modified>
</cp:coreProperties>
</file>